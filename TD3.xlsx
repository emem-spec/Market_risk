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IF A4\Market risk\"/>
    </mc:Choice>
  </mc:AlternateContent>
  <xr:revisionPtr revIDLastSave="0" documentId="8_{E58682ED-8C27-428A-8B00-80479289151B}" xr6:coauthVersionLast="47" xr6:coauthVersionMax="47" xr10:uidLastSave="{00000000-0000-0000-0000-000000000000}"/>
  <bookViews>
    <workbookView xWindow="-120" yWindow="-120" windowWidth="29040" windowHeight="16440" activeTab="1" xr2:uid="{155E768F-6D54-49C6-A794-FCF8DB987355}"/>
  </bookViews>
  <sheets>
    <sheet name="Sheet1" sheetId="1" r:id="rId1"/>
    <sheet name="Sheet2" sheetId="2" r:id="rId2"/>
  </sheets>
  <definedNames>
    <definedName name="solver_adj" localSheetId="0" hidden="1">Sheet1!$C$13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Sheet1!$C$25</definedName>
    <definedName name="solver_lhs2" localSheetId="0" hidden="1">Sheet1!$C$26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Sheet1!$C$13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hs1" localSheetId="0" hidden="1">99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D8" i="2"/>
  <c r="E8" i="2"/>
  <c r="F8" i="2"/>
  <c r="G8" i="2"/>
  <c r="C8" i="2"/>
  <c r="I6" i="2"/>
  <c r="I5" i="2"/>
  <c r="I3" i="2"/>
  <c r="E12" i="2"/>
  <c r="D12" i="2"/>
  <c r="C12" i="2"/>
  <c r="E11" i="2"/>
  <c r="D11" i="2"/>
  <c r="C11" i="2"/>
  <c r="C3" i="2"/>
  <c r="H3" i="2"/>
  <c r="H5" i="2"/>
  <c r="H4" i="2"/>
  <c r="F5" i="2"/>
  <c r="E5" i="2"/>
  <c r="C5" i="2"/>
  <c r="C16" i="1"/>
  <c r="B16" i="1"/>
  <c r="C14" i="1"/>
  <c r="C15" i="1"/>
  <c r="B15" i="1"/>
  <c r="B14" i="1"/>
  <c r="L9" i="1"/>
  <c r="L10" i="1"/>
  <c r="L11" i="1"/>
  <c r="L12" i="1"/>
  <c r="L13" i="1"/>
  <c r="L14" i="1"/>
  <c r="L15" i="1"/>
  <c r="L16" i="1"/>
  <c r="L17" i="1"/>
  <c r="L18" i="1"/>
  <c r="L19" i="1"/>
  <c r="L20" i="1"/>
  <c r="L8" i="1"/>
  <c r="J9" i="1"/>
  <c r="J10" i="1"/>
  <c r="J11" i="1"/>
  <c r="J12" i="1"/>
  <c r="J13" i="1"/>
  <c r="J14" i="1"/>
  <c r="J15" i="1"/>
  <c r="J16" i="1"/>
  <c r="J17" i="1"/>
  <c r="J18" i="1"/>
  <c r="J19" i="1"/>
  <c r="J20" i="1"/>
  <c r="J8" i="1"/>
  <c r="K9" i="1"/>
  <c r="I9" i="1"/>
  <c r="K20" i="1"/>
  <c r="I8" i="1"/>
  <c r="K10" i="1"/>
  <c r="K11" i="1"/>
  <c r="K12" i="1"/>
  <c r="K13" i="1"/>
  <c r="K14" i="1"/>
  <c r="K15" i="1"/>
  <c r="K16" i="1"/>
  <c r="K17" i="1"/>
  <c r="K18" i="1"/>
  <c r="K19" i="1"/>
  <c r="K8" i="1"/>
  <c r="I20" i="1"/>
  <c r="I10" i="1"/>
  <c r="I11" i="1"/>
  <c r="I12" i="1"/>
  <c r="I13" i="1"/>
  <c r="I14" i="1"/>
  <c r="I15" i="1"/>
  <c r="I16" i="1"/>
  <c r="I17" i="1"/>
  <c r="I18" i="1"/>
  <c r="I19" i="1"/>
  <c r="C25" i="1" l="1"/>
  <c r="C26" i="1" s="1"/>
  <c r="B26" i="1"/>
  <c r="B25" i="1"/>
</calcChain>
</file>

<file path=xl/sharedStrings.xml><?xml version="1.0" encoding="utf-8"?>
<sst xmlns="http://schemas.openxmlformats.org/spreadsheetml/2006/main" count="39" uniqueCount="35">
  <si>
    <t>annual coupon rate</t>
  </si>
  <si>
    <t>coupon payment</t>
  </si>
  <si>
    <t>trimestriel</t>
  </si>
  <si>
    <t>Nominal</t>
  </si>
  <si>
    <t>Maturity</t>
  </si>
  <si>
    <t>time</t>
  </si>
  <si>
    <t>t(k)</t>
  </si>
  <si>
    <t>Flux</t>
  </si>
  <si>
    <t>Actualisation</t>
  </si>
  <si>
    <t>Current Price</t>
  </si>
  <si>
    <t>yield to maturity</t>
  </si>
  <si>
    <t>modified duration</t>
  </si>
  <si>
    <t>duration</t>
  </si>
  <si>
    <t>convexity</t>
  </si>
  <si>
    <t>Solver condition</t>
  </si>
  <si>
    <t>discounted</t>
  </si>
  <si>
    <t>rate duration</t>
  </si>
  <si>
    <t>spread duration</t>
  </si>
  <si>
    <t>rate convexity</t>
  </si>
  <si>
    <t>spread convexity</t>
  </si>
  <si>
    <t>spread</t>
  </si>
  <si>
    <t>DTS</t>
  </si>
  <si>
    <t>weight in your portfolio</t>
  </si>
  <si>
    <t>fixed rate bond</t>
  </si>
  <si>
    <t>floating rate bond</t>
  </si>
  <si>
    <t>fixed rate gov bond</t>
  </si>
  <si>
    <t>en gras donné dans enonce</t>
  </si>
  <si>
    <t>relative spread variation</t>
  </si>
  <si>
    <t>Absolute rate variation</t>
  </si>
  <si>
    <t>composition du ptf</t>
  </si>
  <si>
    <t>weight</t>
  </si>
  <si>
    <t>titre 1</t>
  </si>
  <si>
    <t>titre 2</t>
  </si>
  <si>
    <t>titre 3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</si>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</sst>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%"/>
    <numFmt numFmtId="169" formatCode="0.00000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483E-B24B-4821-93AF-59EC035CA61F}">
  <dimension ref="A1:L26"/>
  <sheetViews>
    <sheetView workbookViewId="0">
      <selection activeCell="C18" sqref="C18"/>
    </sheetView>
  </sheetViews>
  <sheetFormatPr defaultRowHeight="15" x14ac:dyDescent="0.25"/>
  <cols>
    <col min="1" max="1" width="22.140625" customWidth="1"/>
    <col min="2" max="2" width="18.85546875" customWidth="1"/>
    <col min="3" max="3" width="16.85546875" customWidth="1"/>
    <col min="7" max="7" width="12.7109375" bestFit="1" customWidth="1"/>
    <col min="10" max="10" width="15.7109375" customWidth="1"/>
    <col min="12" max="12" width="14.5703125" customWidth="1"/>
  </cols>
  <sheetData>
    <row r="1" spans="1:12" x14ac:dyDescent="0.25">
      <c r="A1" t="s">
        <v>0</v>
      </c>
      <c r="B1" s="1">
        <v>0.01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>
        <v>100</v>
      </c>
    </row>
    <row r="4" spans="1:12" x14ac:dyDescent="0.25">
      <c r="A4" t="s">
        <v>4</v>
      </c>
      <c r="B4">
        <v>3</v>
      </c>
    </row>
    <row r="7" spans="1:12" x14ac:dyDescent="0.25">
      <c r="G7" t="s">
        <v>5</v>
      </c>
      <c r="H7" t="s">
        <v>6</v>
      </c>
      <c r="I7" t="s">
        <v>7</v>
      </c>
      <c r="J7" t="s">
        <v>15</v>
      </c>
      <c r="K7" t="s">
        <v>7</v>
      </c>
      <c r="L7" t="s">
        <v>8</v>
      </c>
    </row>
    <row r="8" spans="1:12" x14ac:dyDescent="0.25">
      <c r="G8">
        <v>0</v>
      </c>
      <c r="I8">
        <f>-B12</f>
        <v>-100</v>
      </c>
      <c r="J8">
        <f>1/(1+$B$13)^H8</f>
        <v>1</v>
      </c>
      <c r="K8">
        <f>-C12</f>
        <v>-99</v>
      </c>
      <c r="L8">
        <f>1/(1+$C$13)^H8</f>
        <v>1</v>
      </c>
    </row>
    <row r="9" spans="1:12" x14ac:dyDescent="0.25">
      <c r="G9">
        <v>1</v>
      </c>
      <c r="H9" s="2">
        <v>0.25</v>
      </c>
      <c r="I9">
        <f>$B$3*$B$1/4</f>
        <v>0.25</v>
      </c>
      <c r="J9">
        <f t="shared" ref="J9:J20" si="0">1/(1+$B$13)^H9</f>
        <v>0.99750623393839744</v>
      </c>
      <c r="K9">
        <f>$B$3*$B$1/4</f>
        <v>0.25</v>
      </c>
      <c r="L9">
        <f t="shared" ref="L9:L20" si="1">1/(1+$C$13)^H9</f>
        <v>0.99665959640827106</v>
      </c>
    </row>
    <row r="10" spans="1:12" x14ac:dyDescent="0.25">
      <c r="G10">
        <v>2</v>
      </c>
      <c r="H10" s="2">
        <v>0.5</v>
      </c>
      <c r="I10">
        <f t="shared" ref="I10:K20" si="2">-$I$8*$B$1/4</f>
        <v>0.25</v>
      </c>
      <c r="J10">
        <f t="shared" si="0"/>
        <v>0.99501868674596483</v>
      </c>
      <c r="K10">
        <f t="shared" si="2"/>
        <v>0.25</v>
      </c>
      <c r="L10">
        <f t="shared" si="1"/>
        <v>0.99333035111269763</v>
      </c>
    </row>
    <row r="11" spans="1:12" x14ac:dyDescent="0.25">
      <c r="G11">
        <v>3</v>
      </c>
      <c r="H11" s="2">
        <v>0.75</v>
      </c>
      <c r="I11">
        <f t="shared" si="2"/>
        <v>0.25</v>
      </c>
      <c r="J11">
        <f t="shared" si="0"/>
        <v>0.99253734291429729</v>
      </c>
      <c r="K11">
        <f t="shared" si="2"/>
        <v>0.25</v>
      </c>
      <c r="L11">
        <f t="shared" si="1"/>
        <v>0.99001222684006718</v>
      </c>
    </row>
    <row r="12" spans="1:12" x14ac:dyDescent="0.25">
      <c r="A12" t="s">
        <v>9</v>
      </c>
      <c r="B12">
        <v>100</v>
      </c>
      <c r="C12">
        <v>99</v>
      </c>
      <c r="G12">
        <v>4</v>
      </c>
      <c r="H12" s="2">
        <v>1</v>
      </c>
      <c r="I12">
        <f t="shared" si="2"/>
        <v>0.25</v>
      </c>
      <c r="J12">
        <f t="shared" si="0"/>
        <v>0.99006218697366444</v>
      </c>
      <c r="K12">
        <f t="shared" si="2"/>
        <v>0.25</v>
      </c>
      <c r="L12">
        <f t="shared" si="1"/>
        <v>0.98670518644167493</v>
      </c>
    </row>
    <row r="13" spans="1:12" x14ac:dyDescent="0.25">
      <c r="A13" t="s">
        <v>10</v>
      </c>
      <c r="B13" s="5">
        <v>1.0037564465230801E-2</v>
      </c>
      <c r="C13" s="4">
        <v>1.3473947173896746E-2</v>
      </c>
      <c r="G13">
        <v>5</v>
      </c>
      <c r="H13" s="2">
        <v>1.25</v>
      </c>
      <c r="I13">
        <f t="shared" si="2"/>
        <v>0.25</v>
      </c>
      <c r="J13">
        <f t="shared" si="0"/>
        <v>0.98759320349291346</v>
      </c>
      <c r="K13">
        <f t="shared" si="2"/>
        <v>0.25</v>
      </c>
      <c r="L13">
        <f t="shared" si="1"/>
        <v>0.9834091928929074</v>
      </c>
    </row>
    <row r="14" spans="1:12" x14ac:dyDescent="0.25">
      <c r="A14" t="s">
        <v>11</v>
      </c>
      <c r="B14">
        <f>B15/(1+B13)</f>
        <v>2.9297850706142103</v>
      </c>
      <c r="C14">
        <f>C15/(1+C13)</f>
        <v>2.9195930098499634</v>
      </c>
      <c r="G14">
        <v>6</v>
      </c>
      <c r="H14" s="2">
        <v>1.5</v>
      </c>
      <c r="I14">
        <f t="shared" si="2"/>
        <v>0.25</v>
      </c>
      <c r="J14">
        <f t="shared" si="0"/>
        <v>0.98513037707937334</v>
      </c>
      <c r="K14">
        <f t="shared" si="2"/>
        <v>0.25</v>
      </c>
      <c r="L14">
        <f t="shared" si="1"/>
        <v>0.98012420929282873</v>
      </c>
    </row>
    <row r="15" spans="1:12" x14ac:dyDescent="0.25">
      <c r="A15" t="s">
        <v>12</v>
      </c>
      <c r="B15">
        <f>SUMPRODUCT(H9:H20,I9:I20,J9:J20)/B12</f>
        <v>2.9591929771297716</v>
      </c>
      <c r="C15">
        <f>SUMPRODUCT(H9:H20,K9:K20,L9:L20)/C12</f>
        <v>2.9589314518339598</v>
      </c>
      <c r="G15">
        <v>7</v>
      </c>
      <c r="H15" s="2">
        <v>1.75</v>
      </c>
      <c r="I15">
        <f t="shared" si="2"/>
        <v>0.25</v>
      </c>
      <c r="J15">
        <f t="shared" si="0"/>
        <v>0.98267369237875901</v>
      </c>
      <c r="K15">
        <f t="shared" si="2"/>
        <v>0.25</v>
      </c>
      <c r="L15">
        <f t="shared" si="1"/>
        <v>0.97685019886376645</v>
      </c>
    </row>
    <row r="16" spans="1:12" x14ac:dyDescent="0.25">
      <c r="A16" t="s">
        <v>13</v>
      </c>
      <c r="B16">
        <f>SUMPRODUCT(H9:H20,H9:H20,I9:I20,J9:J20)/B12</f>
        <v>8.8335549570544476</v>
      </c>
      <c r="C16">
        <f>SUMPRODUCT(H9:H20,H9:H20,K9:K20,L9:L20)/C12</f>
        <v>8.8325509040905033</v>
      </c>
      <c r="G16">
        <v>8</v>
      </c>
      <c r="H16" s="2">
        <v>2</v>
      </c>
      <c r="I16">
        <f t="shared" si="2"/>
        <v>0.25</v>
      </c>
      <c r="J16">
        <f t="shared" si="0"/>
        <v>0.98022313407507533</v>
      </c>
      <c r="K16">
        <f t="shared" si="2"/>
        <v>0.25</v>
      </c>
      <c r="L16">
        <f t="shared" si="1"/>
        <v>0.97358712495090061</v>
      </c>
    </row>
    <row r="17" spans="1:12" x14ac:dyDescent="0.25">
      <c r="G17">
        <v>9</v>
      </c>
      <c r="H17" s="2">
        <v>2.25</v>
      </c>
      <c r="I17">
        <f t="shared" si="2"/>
        <v>0.25</v>
      </c>
      <c r="J17">
        <f t="shared" si="0"/>
        <v>0.97777868689052105</v>
      </c>
      <c r="K17">
        <f t="shared" si="2"/>
        <v>0.25</v>
      </c>
      <c r="L17">
        <f t="shared" si="1"/>
        <v>0.97033495102185341</v>
      </c>
    </row>
    <row r="18" spans="1:12" x14ac:dyDescent="0.25">
      <c r="G18">
        <v>10</v>
      </c>
      <c r="H18" s="2">
        <v>2.5</v>
      </c>
      <c r="I18">
        <f t="shared" si="2"/>
        <v>0.25</v>
      </c>
      <c r="J18">
        <f t="shared" si="0"/>
        <v>0.97534033558539512</v>
      </c>
      <c r="K18">
        <f t="shared" si="2"/>
        <v>0.25</v>
      </c>
      <c r="L18">
        <f t="shared" si="1"/>
        <v>0.96709364066627979</v>
      </c>
    </row>
    <row r="19" spans="1:12" x14ac:dyDescent="0.25">
      <c r="G19">
        <v>11</v>
      </c>
      <c r="H19" s="2">
        <v>2.75</v>
      </c>
      <c r="I19">
        <f t="shared" si="2"/>
        <v>0.25</v>
      </c>
      <c r="J19">
        <f t="shared" si="0"/>
        <v>0.9729080649580002</v>
      </c>
      <c r="K19">
        <f t="shared" si="2"/>
        <v>0.25</v>
      </c>
      <c r="L19">
        <f t="shared" si="1"/>
        <v>0.96386315759545982</v>
      </c>
    </row>
    <row r="20" spans="1:12" x14ac:dyDescent="0.25">
      <c r="G20">
        <v>12</v>
      </c>
      <c r="H20" s="2">
        <v>3</v>
      </c>
      <c r="I20">
        <f>100-$I$8*$B$1/4</f>
        <v>100.25</v>
      </c>
      <c r="J20">
        <f t="shared" si="0"/>
        <v>0.97048185984454849</v>
      </c>
      <c r="K20">
        <f>$B$3-$I$8*$B$1/4</f>
        <v>100.25</v>
      </c>
      <c r="L20">
        <f t="shared" si="1"/>
        <v>0.96064346564189262</v>
      </c>
    </row>
    <row r="25" spans="1:12" x14ac:dyDescent="0.25">
      <c r="B25">
        <f>SUMPRODUCT(I9:I20,J9:J20)</f>
        <v>99.99999943567407</v>
      </c>
      <c r="C25">
        <f>SUMPRODUCT(K9:K20,L9:L20)</f>
        <v>98.999999889621421</v>
      </c>
    </row>
    <row r="26" spans="1:12" x14ac:dyDescent="0.25">
      <c r="A26" t="s">
        <v>14</v>
      </c>
      <c r="B26">
        <f>SUMPRODUCT(I9:I20,J9:J20)-$B$12</f>
        <v>-5.6432592998589826E-7</v>
      </c>
      <c r="C26">
        <f>C25-C12</f>
        <v>-1.1037857916562643E-7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F31-3747-467E-A8A6-8C5BEEF33B8C}">
  <dimension ref="B2:Q17"/>
  <sheetViews>
    <sheetView tabSelected="1" workbookViewId="0">
      <selection activeCell="I8" sqref="I8"/>
    </sheetView>
  </sheetViews>
  <sheetFormatPr defaultRowHeight="15" x14ac:dyDescent="0.25"/>
  <cols>
    <col min="2" max="2" width="17.7109375" customWidth="1"/>
    <col min="3" max="3" width="19.5703125" customWidth="1"/>
    <col min="4" max="4" width="20.7109375" customWidth="1"/>
    <col min="5" max="5" width="16.7109375" customWidth="1"/>
    <col min="6" max="6" width="20" customWidth="1"/>
    <col min="9" max="9" width="24.28515625" customWidth="1"/>
    <col min="11" max="11" width="22.85546875" customWidth="1"/>
  </cols>
  <sheetData>
    <row r="2" spans="2:17" x14ac:dyDescent="0.25"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2:17" x14ac:dyDescent="0.25">
      <c r="B3" t="s">
        <v>23</v>
      </c>
      <c r="C3">
        <f>D3</f>
        <v>2</v>
      </c>
      <c r="D3" s="6">
        <v>2</v>
      </c>
      <c r="E3">
        <v>4.5</v>
      </c>
      <c r="F3" s="6">
        <v>4.5</v>
      </c>
      <c r="G3" s="7">
        <v>1.4999999999999999E-2</v>
      </c>
      <c r="H3" s="3">
        <f>G3*D3</f>
        <v>0.03</v>
      </c>
      <c r="I3" s="3">
        <f>I15</f>
        <v>0.16</v>
      </c>
      <c r="K3" t="s">
        <v>27</v>
      </c>
      <c r="L3" s="1">
        <v>-0.01</v>
      </c>
    </row>
    <row r="4" spans="2:17" x14ac:dyDescent="0.25">
      <c r="B4" t="s">
        <v>24</v>
      </c>
      <c r="C4">
        <v>0</v>
      </c>
      <c r="D4" s="6">
        <v>2.5</v>
      </c>
      <c r="E4">
        <v>0</v>
      </c>
      <c r="F4" s="6">
        <v>9</v>
      </c>
      <c r="G4" s="7">
        <v>1.4E-2</v>
      </c>
      <c r="H4" s="3">
        <f>G4*D4</f>
        <v>3.5000000000000003E-2</v>
      </c>
      <c r="I4" s="1">
        <v>0</v>
      </c>
      <c r="K4" t="s">
        <v>28</v>
      </c>
      <c r="L4" s="3">
        <v>1E-3</v>
      </c>
    </row>
    <row r="5" spans="2:17" x14ac:dyDescent="0.25">
      <c r="B5" t="s">
        <v>23</v>
      </c>
      <c r="C5">
        <f>D5</f>
        <v>4</v>
      </c>
      <c r="D5" s="6">
        <v>4</v>
      </c>
      <c r="E5">
        <f>F5</f>
        <v>16</v>
      </c>
      <c r="F5" s="6">
        <f>D5*D5</f>
        <v>16</v>
      </c>
      <c r="G5" s="8">
        <v>0.12</v>
      </c>
      <c r="H5" s="3">
        <f>G5*D5</f>
        <v>0.48</v>
      </c>
      <c r="I5" s="3">
        <f>I16</f>
        <v>0.13</v>
      </c>
    </row>
    <row r="6" spans="2:17" x14ac:dyDescent="0.25">
      <c r="B6" t="s">
        <v>25</v>
      </c>
      <c r="C6">
        <v>3</v>
      </c>
      <c r="D6">
        <v>0</v>
      </c>
      <c r="E6">
        <v>10</v>
      </c>
      <c r="F6">
        <v>0</v>
      </c>
      <c r="G6">
        <v>0</v>
      </c>
      <c r="H6">
        <v>0</v>
      </c>
      <c r="I6" s="3">
        <f>I17</f>
        <v>-0.28000000000000003</v>
      </c>
    </row>
    <row r="7" spans="2:17" x14ac:dyDescent="0.25">
      <c r="I7" s="3"/>
    </row>
    <row r="8" spans="2:17" x14ac:dyDescent="0.25">
      <c r="B8" t="s">
        <v>34</v>
      </c>
      <c r="C8">
        <f>SUMPRODUCT(C3:C6,$I$3:$I$6)</f>
        <v>0</v>
      </c>
      <c r="D8">
        <f t="shared" ref="D8:H8" si="0">SUMPRODUCT(D3:D6,$I$3:$I$6)</f>
        <v>0.84000000000000008</v>
      </c>
      <c r="E8">
        <f t="shared" si="0"/>
        <v>-4.4408920985006262E-16</v>
      </c>
      <c r="F8">
        <f t="shared" si="0"/>
        <v>2.8</v>
      </c>
      <c r="G8">
        <f t="shared" si="0"/>
        <v>1.7999999999999999E-2</v>
      </c>
      <c r="H8" s="3">
        <f>D8*G8</f>
        <v>1.512E-2</v>
      </c>
      <c r="I8" s="3"/>
      <c r="Q8" s="6" t="s">
        <v>26</v>
      </c>
    </row>
    <row r="10" spans="2:17" x14ac:dyDescent="0.25">
      <c r="B10" t="s">
        <v>29</v>
      </c>
      <c r="C10" t="s">
        <v>31</v>
      </c>
      <c r="D10" t="s">
        <v>32</v>
      </c>
      <c r="E10" t="s">
        <v>33</v>
      </c>
    </row>
    <row r="11" spans="2:17" x14ac:dyDescent="0.25">
      <c r="B11" t="s">
        <v>12</v>
      </c>
      <c r="C11">
        <f>C3</f>
        <v>2</v>
      </c>
      <c r="D11">
        <f>C5</f>
        <v>4</v>
      </c>
      <c r="E11">
        <f>C6</f>
        <v>3</v>
      </c>
    </row>
    <row r="12" spans="2:17" x14ac:dyDescent="0.25">
      <c r="B12" t="s">
        <v>13</v>
      </c>
      <c r="C12">
        <f>E3</f>
        <v>4.5</v>
      </c>
      <c r="D12">
        <f>E5</f>
        <v>16</v>
      </c>
      <c r="E12">
        <f>E6</f>
        <v>10</v>
      </c>
    </row>
    <row r="13" spans="2:17" x14ac:dyDescent="0.25">
      <c r="B13" t="s">
        <v>30</v>
      </c>
      <c r="C13">
        <v>1</v>
      </c>
      <c r="D13">
        <v>1</v>
      </c>
      <c r="E13">
        <v>1</v>
      </c>
    </row>
    <row r="15" spans="2:17" x14ac:dyDescent="0.25">
      <c r="C15">
        <v>-12</v>
      </c>
      <c r="D15">
        <v>2</v>
      </c>
      <c r="E15">
        <v>16</v>
      </c>
      <c r="G15">
        <v>0</v>
      </c>
      <c r="I15">
        <v>0.16</v>
      </c>
    </row>
    <row r="16" spans="2:17" x14ac:dyDescent="0.25">
      <c r="C16">
        <v>-11</v>
      </c>
      <c r="D16">
        <v>2</v>
      </c>
      <c r="E16">
        <v>13</v>
      </c>
      <c r="G16">
        <v>0</v>
      </c>
      <c r="I16">
        <v>0.13</v>
      </c>
    </row>
    <row r="17" spans="3:9" x14ac:dyDescent="0.25">
      <c r="C17">
        <v>23</v>
      </c>
      <c r="D17">
        <v>-4</v>
      </c>
      <c r="E17">
        <v>-28</v>
      </c>
      <c r="G17">
        <v>0.01</v>
      </c>
      <c r="I17">
        <v>-0.28000000000000003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BESSON Adrien</dc:creator>
  <cp:lastModifiedBy>BESSON Adrien</cp:lastModifiedBy>
  <dcterms:created xsi:type="dcterms:W3CDTF">2025-10-23T06:18:02Z</dcterms:created>
  <dcterms:modified xsi:type="dcterms:W3CDTF">2025-10-23T08:18:35Z</dcterms:modified>
</cp:coreProperties>
</file>